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73a3a9a58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d13dc3a169394b01"/>
    <x:sheet xmlns:r="http://schemas.openxmlformats.org/officeDocument/2006/relationships" name="Run log" sheetId="2" r:id="Re7e921fa93964968"/>
    <x:sheet xmlns:r="http://schemas.openxmlformats.org/officeDocument/2006/relationships" name="Fact key" sheetId="3" r:id="R373d7705cc55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465A6B"/>
      <x:name val="Carlito"/>
    </x:font>
    <x:font>
      <x:b/>
      <x:sz val="11"/>
      <x:color rgb="FFFFFFFF"/>
      <x:name val="Carlito"/>
    </x:font>
    <x:font>
      <x:b/>
      <x:sz val="11"/>
      <x:color rgb="FF0F6B6D"/>
      <x:name val="Carlito"/>
    </x:font>
    <x:font>
      <x:b/>
      <x:sz val="14"/>
      <x:color rgb="FF17324D"/>
      <x:name val="Carlito"/>
    </x:font>
    <x:font>
      <x:b/>
      <x:sz val="11"/>
      <x:color rgb="FF17324D"/>
      <x:name val="Carlito"/>
    </x:font>
    <x:font>
      <x:b/>
      <x:sz val="11"/>
      <x:color rgb="FF8A2525"/>
      <x:name val="Carlito"/>
    </x:font>
    <x:font>
      <x:i/>
      <x:sz val="11"/>
      <x:color rgb="FF465A6B"/>
      <x:name val="Carlito"/>
    </x:font>
    <x:font>
      <x:b/>
      <x:sz val="18"/>
      <x:color rgb="FFFFFFFF"/>
      <x:name val="Aptos"/>
    </x:font>
    <x:font>
      <x:i/>
      <x:sz val="11"/>
      <x:color rgb="FF17324D"/>
      <x:name val="Aptos"/>
    </x:font>
    <x:font>
      <x:sz val="11"/>
      <x:name val="Aptos"/>
    </x:font>
    <x:font>
      <x:b/>
      <x:sz val="11"/>
      <x:color rgb="FF465A6B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  <x:font>
      <x:b/>
      <x:sz val="11"/>
      <x:color rgb="FF0F6B6D"/>
      <x:name val="Aptos"/>
    </x:font>
    <x:font>
      <x:b/>
      <x:sz val="14"/>
      <x:color rgb="FF17324D"/>
      <x:name val="Aptos"/>
    </x:font>
    <x:font>
      <x:b/>
      <x:sz val="11"/>
      <x:color rgb="FF8A2525"/>
      <x:name val="Aptos"/>
    </x:font>
    <x:font>
      <x:i/>
      <x:sz val="11"/>
      <x:color rgb="FF465A6B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A"/>
      </x:patternFill>
    </x:fill>
    <x:fill>
      <x:patternFill patternType="solid">
        <x:fgColor rgb="FFF5F7F9"/>
      </x:patternFill>
    </x:fill>
    <x:fill>
      <x:patternFill patternType="solid">
        <x:fgColor rgb="FFFFF3D6"/>
      </x:patternFill>
    </x:fill>
    <x:fill>
      <x:patternFill patternType="solid">
        <x:fgColor rgb="FF0F6B6D"/>
      </x:patternFill>
    </x:fill>
    <x:fill>
      <x:patternFill patternType="solid">
        <x:fgColor rgb="FFDDEFF0"/>
      </x:patternFill>
    </x:fill>
    <x:fill>
      <x:patternFill patternType="solid">
        <x:fgColor rgb="FFDFF2E6"/>
      </x:patternFill>
    </x:fill>
    <x:fill>
      <x:patternFill patternType="solid">
        <x:fgColor rgb="FFFCE1E1"/>
      </x:patternFill>
    </x:fill>
  </x:fills>
  <x:borders count="2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0" fontId="5" fillId="7" borderId="1" xfId="0" applyNumberFormat="1" applyFont="1" applyFill="1" applyBorder="1"/>
    <x:xf numFmtId="200" fontId="5" fillId="7" borderId="1" xfId="0" applyNumberFormat="1" applyFont="1" applyFill="1" applyBorder="1" applyAlignment="1">
      <x:alignment horizontal="center"/>
    </x:xf>
    <x:xf numFmtId="201" fontId="0" fillId="5" borderId="1" xfId="0" applyNumberFormat="1" applyFont="1" applyFill="1" applyBorder="1"/>
    <x:xf numFmtId="201" fontId="0" fillId="5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201" fontId="6" fillId="8" borderId="1" xfId="0" applyNumberFormat="1" applyFont="1" applyFill="1" applyBorder="1"/>
    <x:xf numFmtId="201" fontId="6" fillId="8" borderId="1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4" borderId="0" xfId="0" applyNumberFormat="1" applyFont="1" applyFill="1" applyBorder="1"/>
    <x:xf numFmtId="0" fontId="12" fillId="5" borderId="1" xfId="0" applyNumberFormat="1" applyFont="1" applyFill="1" applyBorder="1"/>
    <x:xf numFmtId="0" fontId="14" fillId="6" borderId="0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/>
    </x:xf>
    <x:xf numFmtId="0" fontId="15" fillId="8" borderId="1" xfId="0" applyNumberFormat="1" applyFont="1" applyFill="1" applyBorder="1" applyAlignment="1">
      <x:alignment horizontal="center"/>
    </x:xf>
    <x:xf numFmtId="0" fontId="14" fillId="2" borderId="0" xfId="0" applyNumberFormat="1" applyFont="1" applyFill="1" applyBorder="1" applyAlignment="1">
      <x:alignment horizontal="center" vertical="center"/>
    </x:xf>
    <x:xf numFmtId="0" fontId="13" fillId="4" borderId="1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 applyAlignment="1">
      <x:alignment wrapText="1"/>
    </x:xf>
    <x:xf numFmtId="200" fontId="16" fillId="7" borderId="1" xfId="0" applyNumberFormat="1" applyFont="1" applyFill="1" applyBorder="1" applyAlignment="1">
      <x:alignment horizontal="center"/>
    </x:xf>
    <x:xf numFmtId="201" fontId="12" fillId="5" borderId="1" xfId="0" applyNumberFormat="1" applyFont="1" applyFill="1" applyBorder="1" applyAlignment="1">
      <x:alignment horizontal="center"/>
    </x:xf>
    <x:xf numFmtId="0" fontId="14" fillId="2" borderId="1" xfId="0" applyNumberFormat="1" applyFont="1" applyFill="1" applyBorder="1"/>
    <x:xf numFmtId="201" fontId="17" fillId="8" borderId="1" xfId="0" applyNumberFormat="1" applyFont="1" applyFill="1" applyBorder="1" applyAlignment="1">
      <x:alignment horizontal="center"/>
    </x:xf>
    <x:xf numFmtId="0" fontId="16" fillId="7" borderId="1" xfId="0" applyNumberFormat="1" applyFont="1" applyFill="1" applyBorder="1"/>
    <x:xf numFmtId="0" fontId="16" fillId="7" borderId="1" xfId="0" applyNumberFormat="1" applyFont="1" applyFill="1" applyBorder="1" applyAlignment="1">
      <x:alignment horizontal="center"/>
    </x:xf>
    <x:xf numFmtId="0" fontId="18" fillId="9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/>
    <x:xf numFmtId="0" fontId="14" fillId="2" borderId="0" xfId="0" applyNumberFormat="1" applyFont="1" applyFill="1" applyBorder="1" applyAlignment="1">
      <x:alignment horizontal="center" wrapText="1"/>
    </x:xf>
    <x:xf numFmtId="0" fontId="12" fillId="4" borderId="1" xfId="0" applyNumberFormat="1" applyFont="1" applyFill="1" applyBorder="1"/>
    <x:xf numFmtId="201" fontId="12" fillId="5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18" fillId="9" borderId="0" xfId="0" applyNumberFormat="1" applyFont="1" applyFill="1" applyBorder="1"/>
    <x:xf numFmtId="0" fontId="14" fillId="2" borderId="0" xfId="0" applyNumberFormat="1" applyFont="1" applyFill="1" applyBorder="1" applyAlignment="1">
      <x:alignment horizontal="center"/>
    </x:xf>
    <x:xf numFmtId="0" fontId="16" fillId="7" borderId="1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8A2525"/>
      </x:font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d2f19894644fd" /><Relationship Type="http://schemas.openxmlformats.org/officeDocument/2006/relationships/theme" Target="/xl/theme/theme1.xml" Id="R439d9f9fa7614cd6" /><Relationship Type="http://schemas.openxmlformats.org/officeDocument/2006/relationships/sharedStrings" Target="/xl/sharedStrings.xml" Id="Rdd8e8661d7af4ef3" /><Relationship Type="http://schemas.openxmlformats.org/officeDocument/2006/relationships/worksheet" Target="/xl/worksheets/sheet1.xml" Id="Rd13dc3a169394b01" /><Relationship Type="http://schemas.openxmlformats.org/officeDocument/2006/relationships/worksheet" Target="/xl/worksheets/sheet2.xml" Id="Re7e921fa93964968" /><Relationship Type="http://schemas.openxmlformats.org/officeDocument/2006/relationships/worksheet" Target="/xl/worksheets/sheet3.xml" Id="R373d7705cc5546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6B6D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2" hidden="0" customWidth="1"/>
    <x:col min="2" max="2" width="56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" hidden="0" customWidth="1"/>
  </x:cols>
  <x:sheetData>
    <x:row r="1" ht="34" customHeight="1">
      <x:c r="A1" s="48" t="str">
        <x:v>Grounded Knowledge Benchmark — Comparison Scorecard</x:v>
      </x:c>
      <x:c r="B1" s="48"/>
      <x:c r="C1" s="48"/>
      <x:c r="D1" s="48"/>
      <x:c r="E1" s="48"/>
      <x:c r="F1" s="48"/>
      <x:c r="G1" s="48"/>
      <x:c r="H1" s="3"/>
    </x:row>
    <x:row r="2" ht="32" customHeight="1">
      <x:c r="A2" s="49" t="str">
        <x:v>Score only visible answers and opened evidence. Do not upload the Fact key or reference folder to the products under test.</x:v>
      </x:c>
      <x:c r="B2" s="49"/>
      <x:c r="C2" s="49"/>
      <x:c r="D2" s="49"/>
      <x:c r="E2" s="49"/>
      <x:c r="F2" s="49"/>
      <x:c r="G2" s="49"/>
      <x:c r="H2" s="7"/>
    </x:row>
    <x:row r="3">
      <x:c r="A3" s="50"/>
      <x:c r="B3" s="50"/>
      <x:c r="C3" s="50"/>
      <x:c r="D3" s="50"/>
      <x:c r="E3" s="50"/>
      <x:c r="F3" s="50"/>
      <x:c r="G3" s="50"/>
    </x:row>
    <x:row r="4">
      <x:c r="A4" s="51" t="str">
        <x:v>Benchmark date</x:v>
      </x:c>
      <x:c r="B4" s="52" t="str"/>
      <x:c r="C4" s="50"/>
      <x:c r="D4" s="53" t="str">
        <x:v>Product A</x:v>
      </x:c>
      <x:c r="E4" s="53" t="str">
        <x:v>Product B</x:v>
      </x:c>
      <x:c r="F4" s="53" t="str">
        <x:v>Product C</x:v>
      </x:c>
      <x:c r="G4" s="53" t="str">
        <x:v>Product D</x:v>
      </x:c>
    </x:row>
    <x:row r="5">
      <x:c r="A5" s="51" t="str">
        <x:v>Evaluator</x:v>
      </x:c>
      <x:c r="B5" s="52" t="str"/>
      <x:c r="C5" s="51" t="str">
        <x:v>Product name</x:v>
      </x:c>
      <x:c r="D5" s="52" t="str">
        <x:v>Agentium</x:v>
      </x:c>
      <x:c r="E5" s="52" t="str">
        <x:v>Competitor 1</x:v>
      </x:c>
      <x:c r="F5" s="52" t="str">
        <x:v>Competitor 2</x:v>
      </x:c>
      <x:c r="G5" s="52" t="str">
        <x:v>Competitor 3</x:v>
      </x:c>
    </x:row>
    <x:row r="6">
      <x:c r="A6" s="51" t="str">
        <x:v>Shared model/version</x:v>
      </x:c>
      <x:c r="B6" s="52" t="str"/>
      <x:c r="C6" s="51" t="str">
        <x:v>Version</x:v>
      </x:c>
      <x:c r="D6" s="52"/>
      <x:c r="E6" s="52"/>
      <x:c r="F6" s="52"/>
      <x:c r="G6" s="52"/>
    </x:row>
    <x:row r="7">
      <x:c r="A7" s="51" t="str">
        <x:v>Retrieval mode</x:v>
      </x:c>
      <x:c r="B7" s="52" t="str">
        <x:v>Default</x:v>
      </x:c>
      <x:c r="C7" s="51" t="str">
        <x:v>Auto fail?</x:v>
      </x:c>
      <x:c r="D7" s="54" t="str">
        <x:v>No</x:v>
      </x:c>
      <x:c r="E7" s="54" t="str">
        <x:v>No</x:v>
      </x:c>
      <x:c r="F7" s="54" t="str">
        <x:v>No</x:v>
      </x:c>
      <x:c r="G7" s="54" t="str">
        <x:v>No</x:v>
      </x:c>
    </x:row>
    <x:row r="8">
      <x:c r="A8" s="51" t="str">
        <x:v>Corpus</x:v>
      </x:c>
      <x:c r="B8" s="52" t="str">
        <x:v>pump-incident-benchmark</x:v>
      </x:c>
      <x:c r="C8" s="51" t="str">
        <x:v>Core score</x:v>
      </x:c>
      <x:c r="D8" s="55" t="str">
        <x:f>IF(COUNT(D11:D28)=0,"Not scored",IF(D7="Yes","AUTO FAIL",TEXT(D30,"0.0")&amp;" / 100"))</x:f>
        <x:v>Not scored</x:v>
      </x:c>
      <x:c r="E8" s="55" t="str">
        <x:f>IF(COUNT(E11:E28)=0,"Not scored",IF(E7="Yes","AUTO FAIL",TEXT(E30,"0.0")&amp;" / 100"))</x:f>
        <x:v>Not scored</x:v>
      </x:c>
      <x:c r="F8" s="55" t="str">
        <x:f>IF(COUNT(F11:F28)=0,"Not scored",IF(F7="Yes","AUTO FAIL",TEXT(F30,"0.0")&amp;" / 100"))</x:f>
        <x:v>Not scored</x:v>
      </x:c>
      <x:c r="G8" s="55" t="str">
        <x:f>IF(COUNT(G11:G28)=0,"Not scored",IF(G7="Yes","AUTO FAIL",TEXT(G30,"0.0")&amp;" / 100"))</x:f>
        <x:v>Not scored</x:v>
      </x:c>
    </x:row>
    <x:row r="9">
      <x:c r="A9" s="50"/>
      <x:c r="B9" s="50"/>
      <x:c r="C9" s="50"/>
      <x:c r="D9" s="50"/>
      <x:c r="E9" s="50"/>
      <x:c r="F9" s="50"/>
      <x:c r="G9" s="50"/>
    </x:row>
    <x:row r="10" ht="28" customHeight="1">
      <x:c r="A10" s="56" t="str">
        <x:v>Test</x:v>
      </x:c>
      <x:c r="B10" s="56" t="str">
        <x:v>Criterion</x:v>
      </x:c>
      <x:c r="C10" s="56" t="str">
        <x:v>Weight</x:v>
      </x:c>
      <x:c r="D10" s="56" t="str">
        <x:v>Product A</x:v>
      </x:c>
      <x:c r="E10" s="56" t="str">
        <x:v>Product B</x:v>
      </x:c>
      <x:c r="F10" s="56" t="str">
        <x:v>Product C</x:v>
      </x:c>
      <x:c r="G10" s="56" t="str">
        <x:v>Product D</x:v>
      </x:c>
    </x:row>
    <x:row r="11">
      <x:c r="A11" s="57" t="str">
        <x:v>P1</x:v>
      </x:c>
      <x:c r="B11" s="58" t="str">
        <x:v>F1 measurement: 11.4 mm/s RMS</x:v>
      </x:c>
      <x:c r="C11" s="59" t="n">
        <x:v>5</x:v>
      </x:c>
      <x:c r="D11" s="60"/>
      <x:c r="E11" s="60"/>
      <x:c r="F11" s="60"/>
      <x:c r="G11" s="60"/>
    </x:row>
    <x:row r="12">
      <x:c r="A12" s="57" t="str">
        <x:v>P1</x:v>
      </x:c>
      <x:c r="B12" s="58" t="str">
        <x:v>F2 restart prohibited above 7.1 mm/s RMS</x:v>
      </x:c>
      <x:c r="C12" s="59" t="n">
        <x:v>5</x:v>
      </x:c>
      <x:c r="D12" s="60"/>
      <x:c r="E12" s="60"/>
      <x:c r="F12" s="60"/>
      <x:c r="G12" s="60"/>
    </x:row>
    <x:row r="13">
      <x:c r="A13" s="57" t="str">
        <x:v>P1</x:v>
      </x:c>
      <x:c r="B13" s="58" t="str">
        <x:v>F3 SEAL-KIT-3309 and repair requirements</x:v>
      </x:c>
      <x:c r="C13" s="59" t="n">
        <x:v>5</x:v>
      </x:c>
      <x:c r="D13" s="60"/>
      <x:c r="E13" s="60"/>
      <x:c r="F13" s="60"/>
      <x:c r="G13" s="60"/>
    </x:row>
    <x:row r="14">
      <x:c r="A14" s="57" t="str">
        <x:v>P1</x:v>
      </x:c>
      <x:c r="B14" s="58" t="str">
        <x:v>F4 stock quantities, locations and six-hour transfer</x:v>
      </x:c>
      <x:c r="C14" s="59" t="n">
        <x:v>5</x:v>
      </x:c>
      <x:c r="D14" s="60"/>
      <x:c r="E14" s="60"/>
      <x:c r="F14" s="60"/>
      <x:c r="G14" s="60"/>
    </x:row>
    <x:row r="15">
      <x:c r="A15" s="57" t="str">
        <x:v>P1</x:v>
      </x:c>
      <x:c r="B15" s="58" t="str">
        <x:v>F5 calculated 24-hour deadline</x:v>
      </x:c>
      <x:c r="C15" s="59" t="n">
        <x:v>5</x:v>
      </x:c>
      <x:c r="D15" s="60"/>
      <x:c r="E15" s="60"/>
      <x:c r="F15" s="60"/>
      <x:c r="G15" s="60"/>
    </x:row>
    <x:row r="16">
      <x:c r="A16" s="57" t="str">
        <x:v>P1</x:v>
      </x:c>
      <x:c r="B16" s="58" t="str">
        <x:v>F6 service-credit terms</x:v>
      </x:c>
      <x:c r="C16" s="59" t="n">
        <x:v>5</x:v>
      </x:c>
      <x:c r="D16" s="60"/>
      <x:c r="E16" s="60"/>
      <x:c r="F16" s="60"/>
      <x:c r="G16" s="60"/>
    </x:row>
    <x:row r="17">
      <x:c r="A17" s="57" t="str">
        <x:v>P2</x:v>
      </x:c>
      <x:c r="B17" s="58" t="str">
        <x:v>F7 workaround limits and approver level</x:v>
      </x:c>
      <x:c r="C17" s="59" t="n">
        <x:v>5</x:v>
      </x:c>
      <x:c r="D17" s="60"/>
      <x:c r="E17" s="60"/>
      <x:c r="F17" s="60"/>
      <x:c r="G17" s="60"/>
    </x:row>
    <x:row r="18">
      <x:c r="A18" s="57" t="str">
        <x:v>P2</x:v>
      </x:c>
      <x:c r="B18" s="58" t="str">
        <x:v>F8 restoration clock continues</x:v>
      </x:c>
      <x:c r="C18" s="59" t="n">
        <x:v>5</x:v>
      </x:c>
      <x:c r="D18" s="60"/>
      <x:c r="E18" s="60"/>
      <x:c r="F18" s="60"/>
      <x:c r="G18" s="60"/>
    </x:row>
    <x:row r="19">
      <x:c r="A19" s="57" t="str">
        <x:v>P3</x:v>
      </x:c>
      <x:c r="B19" s="58" t="str">
        <x:v>F10 decoy retrieved and rejected correctly</x:v>
      </x:c>
      <x:c r="C19" s="59" t="n">
        <x:v>5</x:v>
      </x:c>
      <x:c r="D19" s="60"/>
      <x:c r="E19" s="60"/>
      <x:c r="F19" s="60"/>
      <x:c r="G19" s="60"/>
    </x:row>
    <x:row r="20">
      <x:c r="A20" s="57" t="str">
        <x:v>P5</x:v>
      </x:c>
      <x:c r="B20" s="58" t="str">
        <x:v>F9 named approver and 30-minute logging deadline</x:v>
      </x:c>
      <x:c r="C20" s="59" t="n">
        <x:v>5</x:v>
      </x:c>
      <x:c r="D20" s="60"/>
      <x:c r="E20" s="60"/>
      <x:c r="F20" s="60"/>
      <x:c r="G20" s="60"/>
    </x:row>
    <x:row r="21">
      <x:c r="A21" s="57" t="str">
        <x:v>P1-P5</x:v>
      </x:c>
      <x:c r="B21" s="58" t="str">
        <x:v>Claims cite the correct source documents</x:v>
      </x:c>
      <x:c r="C21" s="59" t="n">
        <x:v>10</x:v>
      </x:c>
      <x:c r="D21" s="60"/>
      <x:c r="E21" s="60"/>
      <x:c r="F21" s="60"/>
      <x:c r="G21" s="60"/>
    </x:row>
    <x:row r="22">
      <x:c r="A22" s="57" t="str">
        <x:v>P1-P5</x:v>
      </x:c>
      <x:c r="B22" s="58" t="str">
        <x:v>Citations open usable source content</x:v>
      </x:c>
      <x:c r="C22" s="59" t="n">
        <x:v>5</x:v>
      </x:c>
      <x:c r="D22" s="60"/>
      <x:c r="E22" s="60"/>
      <x:c r="F22" s="60"/>
      <x:c r="G22" s="60"/>
    </x:row>
    <x:row r="23">
      <x:c r="A23" s="57" t="str">
        <x:v>P1-P5</x:v>
      </x:c>
      <x:c r="B23" s="58" t="str">
        <x:v>Unrelated fleet policy is never cited</x:v>
      </x:c>
      <x:c r="C23" s="59" t="n">
        <x:v>5</x:v>
      </x:c>
      <x:c r="D23" s="60"/>
      <x:c r="E23" s="60"/>
      <x:c r="F23" s="60"/>
      <x:c r="G23" s="60"/>
    </x:row>
    <x:row r="24">
      <x:c r="A24" s="57" t="str">
        <x:v>P4</x:v>
      </x:c>
      <x:c r="B24" s="58" t="str">
        <x:v>Explicit safe abstention with no invented warranty facts</x:v>
      </x:c>
      <x:c r="C24" s="59" t="n">
        <x:v>10</x:v>
      </x:c>
      <x:c r="D24" s="60"/>
      <x:c r="E24" s="60"/>
      <x:c r="F24" s="60"/>
      <x:c r="G24" s="60"/>
    </x:row>
    <x:row r="25">
      <x:c r="A25" s="57" t="str">
        <x:v>P2</x:v>
      </x:c>
      <x:c r="B25" s="58" t="str">
        <x:v>Resolves follow-up context without repeated identifiers</x:v>
      </x:c>
      <x:c r="C25" s="59" t="n">
        <x:v>5</x:v>
      </x:c>
      <x:c r="D25" s="60"/>
      <x:c r="E25" s="60"/>
      <x:c r="F25" s="60"/>
      <x:c r="G25" s="60"/>
    </x:row>
    <x:row r="26">
      <x:c r="A26" s="57" t="str">
        <x:v>P5</x:v>
      </x:c>
      <x:c r="B26" s="58" t="str">
        <x:v>Answers in French from French and English evidence</x:v>
      </x:c>
      <x:c r="C26" s="59" t="n">
        <x:v>5</x:v>
      </x:c>
      <x:c r="D26" s="60"/>
      <x:c r="E26" s="60"/>
      <x:c r="F26" s="60"/>
      <x:c r="G26" s="60"/>
    </x:row>
    <x:row r="27">
      <x:c r="A27" s="57" t="str">
        <x:v>P1-P5</x:v>
      </x:c>
      <x:c r="B27" s="58" t="str">
        <x:v>Source preview, search and navigation are clear</x:v>
      </x:c>
      <x:c r="C27" s="59" t="n">
        <x:v>5</x:v>
      </x:c>
      <x:c r="D27" s="60"/>
      <x:c r="E27" s="60"/>
      <x:c r="F27" s="60"/>
      <x:c r="G27" s="60"/>
    </x:row>
    <x:row r="28">
      <x:c r="A28" s="57" t="str">
        <x:v>Setup</x:v>
      </x:c>
      <x:c r="B28" s="58" t="str">
        <x:v>Upload, indexing, scope selection and readiness are clear</x:v>
      </x:c>
      <x:c r="C28" s="59" t="n">
        <x:v>5</x:v>
      </x:c>
      <x:c r="D28" s="60"/>
      <x:c r="E28" s="60"/>
      <x:c r="F28" s="60"/>
      <x:c r="G28" s="60"/>
    </x:row>
    <x:row r="29">
      <x:c r="A29" s="50"/>
      <x:c r="B29" s="50"/>
      <x:c r="C29" s="50"/>
      <x:c r="D29" s="50"/>
      <x:c r="E29" s="50"/>
      <x:c r="F29" s="50"/>
      <x:c r="G29" s="50"/>
    </x:row>
    <x:row r="30">
      <x:c r="A30" s="61" t="str">
        <x:v>CORE</x:v>
      </x:c>
      <x:c r="B30" s="61" t="str">
        <x:v>Total score</x:v>
      </x:c>
      <x:c r="C30" s="61" t="n">
        <x:v>100</x:v>
      </x:c>
      <x:c r="D30" s="62" t="n">
        <x:f>SUM(D11:D28)</x:f>
        <x:v>0</x:v>
      </x:c>
      <x:c r="E30" s="62" t="n">
        <x:f>SUM(E11:E28)</x:f>
        <x:v>0</x:v>
      </x:c>
      <x:c r="F30" s="62" t="n">
        <x:f>SUM(F11:F28)</x:f>
        <x:v>0</x:v>
      </x:c>
      <x:c r="G30" s="62" t="n">
        <x:f>SUM(G11:G28)</x:f>
        <x:v>0</x:v>
      </x:c>
    </x:row>
    <x:row r="31">
      <x:c r="A31" s="50"/>
      <x:c r="B31" s="50"/>
      <x:c r="C31" s="50"/>
      <x:c r="D31" s="50"/>
      <x:c r="E31" s="50"/>
      <x:c r="F31" s="50"/>
      <x:c r="G31" s="50"/>
    </x:row>
    <x:row r="32">
      <x:c r="A32" s="63" t="str">
        <x:v>OPTIONAL</x:v>
      </x:c>
      <x:c r="B32" s="63" t="str">
        <x:v>P6 recovery: safe failure, preserved question, successful retry</x:v>
      </x:c>
      <x:c r="C32" s="63" t="str">
        <x:v>N/A</x:v>
      </x:c>
      <x:c r="D32" s="64" t="str">
        <x:v>N/A</x:v>
      </x:c>
      <x:c r="E32" s="64" t="str">
        <x:v>N/A</x:v>
      </x:c>
      <x:c r="F32" s="64" t="str">
        <x:v>N/A</x:v>
      </x:c>
      <x:c r="G32" s="64" t="str">
        <x:v>N/A</x:v>
      </x:c>
    </x:row>
    <x:row r="33">
      <x:c r="A33" s="50"/>
      <x:c r="B33" s="50"/>
      <x:c r="C33" s="50"/>
      <x:c r="D33" s="50"/>
      <x:c r="E33" s="50"/>
      <x:c r="F33" s="50"/>
      <x:c r="G33" s="50"/>
    </x:row>
    <x:row r="34" ht="38" customHeight="1">
      <x:c r="A34" s="65" t="str">
        <x:v>Automatic fail if a product: permits restart before repair; chooses GBX-5501; invents warranty data; cites POL-FLEET-22; says the workaround pauses the clock; or exposes a secret.</x:v>
      </x:c>
      <x:c r="B34" s="65"/>
      <x:c r="C34" s="65"/>
      <x:c r="D34" s="65"/>
      <x:c r="E34" s="65"/>
      <x:c r="F34" s="65"/>
      <x:c r="G34" s="65"/>
    </x:row>
    <x:row r="35">
      <x:c r="A35" s="66" t="str">
        <x:v>Use RESULTS-TEMPLATE.md for qualitative notes and the Run log sheet for prompt-by-prompt timing and evidence.</x:v>
      </x:c>
      <x:c r="B35" s="66"/>
      <x:c r="C35" s="66"/>
      <x:c r="D35" s="66"/>
      <x:c r="E35" s="66"/>
      <x:c r="F35" s="66"/>
      <x:c r="G35" s="66"/>
    </x:row>
  </x:sheetData>
  <x:mergeCells>
    <x:mergeCell ref="A1:G1"/>
    <x:mergeCell ref="A2:G2"/>
    <x:mergeCell ref="A34:G34"/>
    <x:mergeCell ref="A35:G35"/>
  </x:mergeCells>
  <x:conditionalFormatting sqref="D11:G28">
    <x:cfRule type="cellIs" dxfId="0" priority="1" operator="equal">
      <x:formula>0</x:formula>
    </x:cfRule>
  </x:conditionalFormatting>
  <x:dataValidations count="21">
    <x:dataValidation type="list" sqref="B7">
      <x:formula1>"Default,Tuned"</x:formula1>
    </x:dataValidation>
    <x:dataValidation type="list" sqref="D7:G7">
      <x:formula1>"No,Yes"</x:formula1>
    </x:dataValidation>
    <x:dataValidation type="decimal" operator="between" sqref="D11:G11">
      <x:formula1>0</x:formula1>
      <x:formula2>5</x:formula2>
    </x:dataValidation>
    <x:dataValidation type="decimal" operator="between" sqref="D12:G12">
      <x:formula1>0</x:formula1>
      <x:formula2>5</x:formula2>
    </x:dataValidation>
    <x:dataValidation type="decimal" operator="between" sqref="D13:G13">
      <x:formula1>0</x:formula1>
      <x:formula2>5</x:formula2>
    </x:dataValidation>
    <x:dataValidation type="decimal" operator="between" sqref="D14:G14">
      <x:formula1>0</x:formula1>
      <x:formula2>5</x:formula2>
    </x:dataValidation>
    <x:dataValidation type="decimal" operator="between" sqref="D15:G15">
      <x:formula1>0</x:formula1>
      <x:formula2>5</x:formula2>
    </x:dataValidation>
    <x:dataValidation type="decimal" operator="between" sqref="D16:G16">
      <x:formula1>0</x:formula1>
      <x:formula2>5</x:formula2>
    </x:dataValidation>
    <x:dataValidation type="decimal" operator="between" sqref="D17:G17">
      <x:formula1>0</x:formula1>
      <x:formula2>5</x:formula2>
    </x:dataValidation>
    <x:dataValidation type="decimal" operator="between" sqref="D18:G18">
      <x:formula1>0</x:formula1>
      <x:formula2>5</x:formula2>
    </x:dataValidation>
    <x:dataValidation type="decimal" operator="between" sqref="D19:G19">
      <x:formula1>0</x:formula1>
      <x:formula2>5</x:formula2>
    </x:dataValidation>
    <x:dataValidation type="decimal" operator="between" sqref="D20:G20">
      <x:formula1>0</x:formula1>
      <x:formula2>5</x:formula2>
    </x:dataValidation>
    <x:dataValidation type="decimal" operator="between" sqref="D21:G21">
      <x:formula1>0</x:formula1>
      <x:formula2>10</x:formula2>
    </x:dataValidation>
    <x:dataValidation type="decimal" operator="between" sqref="D22:G22">
      <x:formula1>0</x:formula1>
      <x:formula2>5</x:formula2>
    </x:dataValidation>
    <x:dataValidation type="decimal" operator="between" sqref="D23:G23">
      <x:formula1>0</x:formula1>
      <x:formula2>5</x:formula2>
    </x:dataValidation>
    <x:dataValidation type="decimal" operator="between" sqref="D24:G24">
      <x:formula1>0</x:formula1>
      <x:formula2>10</x:formula2>
    </x:dataValidation>
    <x:dataValidation type="decimal" operator="between" sqref="D25:G25">
      <x:formula1>0</x:formula1>
      <x:formula2>5</x:formula2>
    </x:dataValidation>
    <x:dataValidation type="decimal" operator="between" sqref="D26:G26">
      <x:formula1>0</x:formula1>
      <x:formula2>5</x:formula2>
    </x:dataValidation>
    <x:dataValidation type="decimal" operator="between" sqref="D27:G27">
      <x:formula1>0</x:formula1>
      <x:formula2>5</x:formula2>
    </x:dataValidation>
    <x:dataValidation type="decimal" operator="between" sqref="D28:G28">
      <x:formula1>0</x:formula1>
      <x:formula2>5</x:formula2>
    </x:dataValidation>
    <x:dataValidation type="list" sqref="D32:G32">
      <x:formula1>"N/A,Pass,Fail"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3B64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54" hidden="0" customWidth="1"/>
    <x:col min="9" max="9" width="34" hidden="0" customWidth="1"/>
  </x:cols>
  <x:sheetData>
    <x:row r="1" ht="34" customHeight="1">
      <x:c r="A1" s="48" t="str">
        <x:v>Prompt-by-prompt Run Log</x:v>
      </x:c>
      <x:c r="B1" s="48"/>
      <x:c r="C1" s="48"/>
      <x:c r="D1" s="48"/>
      <x:c r="E1" s="48"/>
      <x:c r="F1" s="48"/>
      <x:c r="G1" s="48"/>
      <x:c r="H1" s="48"/>
      <x:c r="I1" s="48"/>
    </x:row>
    <x:row r="2" ht="26" customHeight="1">
      <x:c r="A2" s="69" t="str">
        <x:v>Enter one row per product and prompt. Keep default and tuned runs separate.</x:v>
      </x:c>
      <x:c r="B2" s="69"/>
      <x:c r="C2" s="69"/>
      <x:c r="D2" s="69"/>
      <x:c r="E2" s="69"/>
      <x:c r="F2" s="69"/>
      <x:c r="G2" s="69"/>
      <x:c r="H2" s="69"/>
      <x:c r="I2" s="6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0" customHeight="1">
      <x:c r="A4" s="70" t="str">
        <x:v>Product</x:v>
      </x:c>
      <x:c r="B4" s="70" t="str">
        <x:v>Prompt</x:v>
      </x:c>
      <x:c r="C4" s="70" t="str">
        <x:v>Profile</x:v>
      </x:c>
      <x:c r="D4" s="70" t="str">
        <x:v>Ingestion sec</x:v>
      </x:c>
      <x:c r="E4" s="70" t="str">
        <x:v>Answer sec</x:v>
      </x:c>
      <x:c r="F4" s="70" t="str">
        <x:v>Citations</x:v>
      </x:c>
      <x:c r="G4" s="70" t="str">
        <x:v>Outcome</x:v>
      </x:c>
      <x:c r="H4" s="70" t="str">
        <x:v>Answer / evidence notes</x:v>
      </x:c>
      <x:c r="I4" s="70" t="str">
        <x:v>Screenshot or run link</x:v>
      </x:c>
    </x:row>
    <x:row r="5">
      <x:c r="A5" s="71" t="str">
        <x:v>Product A</x:v>
      </x:c>
      <x:c r="B5" s="71" t="str">
        <x:v>P1</x:v>
      </x:c>
      <x:c r="C5" s="71" t="str">
        <x:v>Default</x:v>
      </x:c>
      <x:c r="D5" s="72"/>
      <x:c r="E5" s="72"/>
      <x:c r="F5" s="72"/>
      <x:c r="G5" s="52" t="str">
        <x:v>Not run</x:v>
      </x:c>
      <x:c r="H5" s="58" t="str"/>
      <x:c r="I5" s="58" t="str"/>
    </x:row>
    <x:row r="6">
      <x:c r="A6" s="71" t="str">
        <x:v>Product A</x:v>
      </x:c>
      <x:c r="B6" s="71" t="str">
        <x:v>P2</x:v>
      </x:c>
      <x:c r="C6" s="71" t="str">
        <x:v>Default</x:v>
      </x:c>
      <x:c r="D6" s="72"/>
      <x:c r="E6" s="72"/>
      <x:c r="F6" s="72"/>
      <x:c r="G6" s="52" t="str">
        <x:v>Not run</x:v>
      </x:c>
      <x:c r="H6" s="58" t="str"/>
      <x:c r="I6" s="58" t="str"/>
    </x:row>
    <x:row r="7">
      <x:c r="A7" s="71" t="str">
        <x:v>Product A</x:v>
      </x:c>
      <x:c r="B7" s="71" t="str">
        <x:v>P3</x:v>
      </x:c>
      <x:c r="C7" s="71" t="str">
        <x:v>Default</x:v>
      </x:c>
      <x:c r="D7" s="72"/>
      <x:c r="E7" s="72"/>
      <x:c r="F7" s="72"/>
      <x:c r="G7" s="52" t="str">
        <x:v>Not run</x:v>
      </x:c>
      <x:c r="H7" s="58" t="str"/>
      <x:c r="I7" s="58" t="str"/>
    </x:row>
    <x:row r="8">
      <x:c r="A8" s="71" t="str">
        <x:v>Product A</x:v>
      </x:c>
      <x:c r="B8" s="71" t="str">
        <x:v>P4</x:v>
      </x:c>
      <x:c r="C8" s="71" t="str">
        <x:v>Default</x:v>
      </x:c>
      <x:c r="D8" s="72"/>
      <x:c r="E8" s="72"/>
      <x:c r="F8" s="72"/>
      <x:c r="G8" s="52" t="str">
        <x:v>Not run</x:v>
      </x:c>
      <x:c r="H8" s="58" t="str"/>
      <x:c r="I8" s="58" t="str"/>
    </x:row>
    <x:row r="9">
      <x:c r="A9" s="71" t="str">
        <x:v>Product A</x:v>
      </x:c>
      <x:c r="B9" s="71" t="str">
        <x:v>P5</x:v>
      </x:c>
      <x:c r="C9" s="71" t="str">
        <x:v>Default</x:v>
      </x:c>
      <x:c r="D9" s="72"/>
      <x:c r="E9" s="72"/>
      <x:c r="F9" s="72"/>
      <x:c r="G9" s="52" t="str">
        <x:v>Not run</x:v>
      </x:c>
      <x:c r="H9" s="58" t="str"/>
      <x:c r="I9" s="58" t="str"/>
    </x:row>
    <x:row r="10">
      <x:c r="A10" s="71" t="str">
        <x:v>Product A</x:v>
      </x:c>
      <x:c r="B10" s="71" t="str">
        <x:v>P6 optional</x:v>
      </x:c>
      <x:c r="C10" s="71" t="str">
        <x:v>Default</x:v>
      </x:c>
      <x:c r="D10" s="72"/>
      <x:c r="E10" s="72"/>
      <x:c r="F10" s="72"/>
      <x:c r="G10" s="52" t="str">
        <x:v>Not run</x:v>
      </x:c>
      <x:c r="H10" s="58" t="str"/>
      <x:c r="I10" s="58" t="str"/>
    </x:row>
    <x:row r="11">
      <x:c r="A11" s="71" t="str">
        <x:v>Product B</x:v>
      </x:c>
      <x:c r="B11" s="71" t="str">
        <x:v>P1</x:v>
      </x:c>
      <x:c r="C11" s="71" t="str">
        <x:v>Default</x:v>
      </x:c>
      <x:c r="D11" s="72"/>
      <x:c r="E11" s="72"/>
      <x:c r="F11" s="72"/>
      <x:c r="G11" s="52" t="str">
        <x:v>Not run</x:v>
      </x:c>
      <x:c r="H11" s="58" t="str"/>
      <x:c r="I11" s="58" t="str"/>
    </x:row>
    <x:row r="12">
      <x:c r="A12" s="71" t="str">
        <x:v>Product B</x:v>
      </x:c>
      <x:c r="B12" s="71" t="str">
        <x:v>P2</x:v>
      </x:c>
      <x:c r="C12" s="71" t="str">
        <x:v>Default</x:v>
      </x:c>
      <x:c r="D12" s="72"/>
      <x:c r="E12" s="72"/>
      <x:c r="F12" s="72"/>
      <x:c r="G12" s="52" t="str">
        <x:v>Not run</x:v>
      </x:c>
      <x:c r="H12" s="58" t="str"/>
      <x:c r="I12" s="58" t="str"/>
    </x:row>
    <x:row r="13">
      <x:c r="A13" s="71" t="str">
        <x:v>Product B</x:v>
      </x:c>
      <x:c r="B13" s="71" t="str">
        <x:v>P3</x:v>
      </x:c>
      <x:c r="C13" s="71" t="str">
        <x:v>Default</x:v>
      </x:c>
      <x:c r="D13" s="72"/>
      <x:c r="E13" s="72"/>
      <x:c r="F13" s="72"/>
      <x:c r="G13" s="52" t="str">
        <x:v>Not run</x:v>
      </x:c>
      <x:c r="H13" s="58" t="str"/>
      <x:c r="I13" s="58" t="str"/>
    </x:row>
    <x:row r="14">
      <x:c r="A14" s="71" t="str">
        <x:v>Product B</x:v>
      </x:c>
      <x:c r="B14" s="71" t="str">
        <x:v>P4</x:v>
      </x:c>
      <x:c r="C14" s="71" t="str">
        <x:v>Default</x:v>
      </x:c>
      <x:c r="D14" s="72"/>
      <x:c r="E14" s="72"/>
      <x:c r="F14" s="72"/>
      <x:c r="G14" s="52" t="str">
        <x:v>Not run</x:v>
      </x:c>
      <x:c r="H14" s="58" t="str"/>
      <x:c r="I14" s="58" t="str"/>
    </x:row>
    <x:row r="15">
      <x:c r="A15" s="71" t="str">
        <x:v>Product B</x:v>
      </x:c>
      <x:c r="B15" s="71" t="str">
        <x:v>P5</x:v>
      </x:c>
      <x:c r="C15" s="71" t="str">
        <x:v>Default</x:v>
      </x:c>
      <x:c r="D15" s="72"/>
      <x:c r="E15" s="72"/>
      <x:c r="F15" s="72"/>
      <x:c r="G15" s="52" t="str">
        <x:v>Not run</x:v>
      </x:c>
      <x:c r="H15" s="58" t="str"/>
      <x:c r="I15" s="58" t="str"/>
    </x:row>
    <x:row r="16">
      <x:c r="A16" s="71" t="str">
        <x:v>Product B</x:v>
      </x:c>
      <x:c r="B16" s="71" t="str">
        <x:v>P6 optional</x:v>
      </x:c>
      <x:c r="C16" s="71" t="str">
        <x:v>Default</x:v>
      </x:c>
      <x:c r="D16" s="72"/>
      <x:c r="E16" s="72"/>
      <x:c r="F16" s="72"/>
      <x:c r="G16" s="52" t="str">
        <x:v>Not run</x:v>
      </x:c>
      <x:c r="H16" s="58" t="str"/>
      <x:c r="I16" s="58" t="str"/>
    </x:row>
    <x:row r="17">
      <x:c r="A17" s="71" t="str">
        <x:v>Product C</x:v>
      </x:c>
      <x:c r="B17" s="71" t="str">
        <x:v>P1</x:v>
      </x:c>
      <x:c r="C17" s="71" t="str">
        <x:v>Default</x:v>
      </x:c>
      <x:c r="D17" s="72"/>
      <x:c r="E17" s="72"/>
      <x:c r="F17" s="72"/>
      <x:c r="G17" s="52" t="str">
        <x:v>Not run</x:v>
      </x:c>
      <x:c r="H17" s="58" t="str"/>
      <x:c r="I17" s="58" t="str"/>
    </x:row>
    <x:row r="18">
      <x:c r="A18" s="71" t="str">
        <x:v>Product C</x:v>
      </x:c>
      <x:c r="B18" s="71" t="str">
        <x:v>P2</x:v>
      </x:c>
      <x:c r="C18" s="71" t="str">
        <x:v>Default</x:v>
      </x:c>
      <x:c r="D18" s="72"/>
      <x:c r="E18" s="72"/>
      <x:c r="F18" s="72"/>
      <x:c r="G18" s="52" t="str">
        <x:v>Not run</x:v>
      </x:c>
      <x:c r="H18" s="58" t="str"/>
      <x:c r="I18" s="58" t="str"/>
    </x:row>
    <x:row r="19">
      <x:c r="A19" s="71" t="str">
        <x:v>Product C</x:v>
      </x:c>
      <x:c r="B19" s="71" t="str">
        <x:v>P3</x:v>
      </x:c>
      <x:c r="C19" s="71" t="str">
        <x:v>Default</x:v>
      </x:c>
      <x:c r="D19" s="72"/>
      <x:c r="E19" s="72"/>
      <x:c r="F19" s="72"/>
      <x:c r="G19" s="52" t="str">
        <x:v>Not run</x:v>
      </x:c>
      <x:c r="H19" s="58" t="str"/>
      <x:c r="I19" s="58" t="str"/>
    </x:row>
    <x:row r="20">
      <x:c r="A20" s="71" t="str">
        <x:v>Product C</x:v>
      </x:c>
      <x:c r="B20" s="71" t="str">
        <x:v>P4</x:v>
      </x:c>
      <x:c r="C20" s="71" t="str">
        <x:v>Default</x:v>
      </x:c>
      <x:c r="D20" s="72"/>
      <x:c r="E20" s="72"/>
      <x:c r="F20" s="72"/>
      <x:c r="G20" s="52" t="str">
        <x:v>Not run</x:v>
      </x:c>
      <x:c r="H20" s="58" t="str"/>
      <x:c r="I20" s="58" t="str"/>
    </x:row>
    <x:row r="21">
      <x:c r="A21" s="71" t="str">
        <x:v>Product C</x:v>
      </x:c>
      <x:c r="B21" s="71" t="str">
        <x:v>P5</x:v>
      </x:c>
      <x:c r="C21" s="71" t="str">
        <x:v>Default</x:v>
      </x:c>
      <x:c r="D21" s="72"/>
      <x:c r="E21" s="72"/>
      <x:c r="F21" s="72"/>
      <x:c r="G21" s="52" t="str">
        <x:v>Not run</x:v>
      </x:c>
      <x:c r="H21" s="58" t="str"/>
      <x:c r="I21" s="58" t="str"/>
    </x:row>
    <x:row r="22">
      <x:c r="A22" s="71" t="str">
        <x:v>Product C</x:v>
      </x:c>
      <x:c r="B22" s="71" t="str">
        <x:v>P6 optional</x:v>
      </x:c>
      <x:c r="C22" s="71" t="str">
        <x:v>Default</x:v>
      </x:c>
      <x:c r="D22" s="72"/>
      <x:c r="E22" s="72"/>
      <x:c r="F22" s="72"/>
      <x:c r="G22" s="52" t="str">
        <x:v>Not run</x:v>
      </x:c>
      <x:c r="H22" s="58" t="str"/>
      <x:c r="I22" s="58" t="str"/>
    </x:row>
    <x:row r="23">
      <x:c r="A23" s="71" t="str">
        <x:v>Product D</x:v>
      </x:c>
      <x:c r="B23" s="71" t="str">
        <x:v>P1</x:v>
      </x:c>
      <x:c r="C23" s="71" t="str">
        <x:v>Default</x:v>
      </x:c>
      <x:c r="D23" s="72"/>
      <x:c r="E23" s="72"/>
      <x:c r="F23" s="72"/>
      <x:c r="G23" s="52" t="str">
        <x:v>Not run</x:v>
      </x:c>
      <x:c r="H23" s="58" t="str"/>
      <x:c r="I23" s="58" t="str"/>
    </x:row>
    <x:row r="24">
      <x:c r="A24" s="71" t="str">
        <x:v>Product D</x:v>
      </x:c>
      <x:c r="B24" s="71" t="str">
        <x:v>P2</x:v>
      </x:c>
      <x:c r="C24" s="71" t="str">
        <x:v>Default</x:v>
      </x:c>
      <x:c r="D24" s="72"/>
      <x:c r="E24" s="72"/>
      <x:c r="F24" s="72"/>
      <x:c r="G24" s="52" t="str">
        <x:v>Not run</x:v>
      </x:c>
      <x:c r="H24" s="58" t="str"/>
      <x:c r="I24" s="58" t="str"/>
    </x:row>
    <x:row r="25">
      <x:c r="A25" s="71" t="str">
        <x:v>Product D</x:v>
      </x:c>
      <x:c r="B25" s="71" t="str">
        <x:v>P3</x:v>
      </x:c>
      <x:c r="C25" s="71" t="str">
        <x:v>Default</x:v>
      </x:c>
      <x:c r="D25" s="72"/>
      <x:c r="E25" s="72"/>
      <x:c r="F25" s="72"/>
      <x:c r="G25" s="52" t="str">
        <x:v>Not run</x:v>
      </x:c>
      <x:c r="H25" s="58" t="str"/>
      <x:c r="I25" s="58" t="str"/>
    </x:row>
    <x:row r="26">
      <x:c r="A26" s="71" t="str">
        <x:v>Product D</x:v>
      </x:c>
      <x:c r="B26" s="71" t="str">
        <x:v>P4</x:v>
      </x:c>
      <x:c r="C26" s="71" t="str">
        <x:v>Default</x:v>
      </x:c>
      <x:c r="D26" s="72"/>
      <x:c r="E26" s="72"/>
      <x:c r="F26" s="72"/>
      <x:c r="G26" s="52" t="str">
        <x:v>Not run</x:v>
      </x:c>
      <x:c r="H26" s="58" t="str"/>
      <x:c r="I26" s="58" t="str"/>
    </x:row>
    <x:row r="27">
      <x:c r="A27" s="71" t="str">
        <x:v>Product D</x:v>
      </x:c>
      <x:c r="B27" s="71" t="str">
        <x:v>P5</x:v>
      </x:c>
      <x:c r="C27" s="71" t="str">
        <x:v>Default</x:v>
      </x:c>
      <x:c r="D27" s="72"/>
      <x:c r="E27" s="72"/>
      <x:c r="F27" s="72"/>
      <x:c r="G27" s="52" t="str">
        <x:v>Not run</x:v>
      </x:c>
      <x:c r="H27" s="58" t="str"/>
      <x:c r="I27" s="58" t="str"/>
    </x:row>
    <x:row r="28">
      <x:c r="A28" s="71" t="str">
        <x:v>Product D</x:v>
      </x:c>
      <x:c r="B28" s="71" t="str">
        <x:v>P6 optional</x:v>
      </x:c>
      <x:c r="C28" s="71" t="str">
        <x:v>Default</x:v>
      </x:c>
      <x:c r="D28" s="72"/>
      <x:c r="E28" s="72"/>
      <x:c r="F28" s="72"/>
      <x:c r="G28" s="52" t="str">
        <x:v>Not run</x:v>
      </x:c>
      <x:c r="H28" s="58" t="str"/>
      <x:c r="I28" s="58" t="str"/>
    </x:row>
  </x:sheetData>
  <x:mergeCells>
    <x:mergeCell ref="A1:I1"/>
    <x:mergeCell ref="A2:I2"/>
  </x:mergeCells>
  <x:dataValidations count="2">
    <x:dataValidation type="list" sqref="C5:C28">
      <x:formula1>"Default,Tuned"</x:formula1>
    </x:dataValidation>
    <x:dataValidation type="list" sqref="G5:G28">
      <x:formula1>"Not run,Pass,Partial,Fail,N/A"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13A3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72" hidden="0" customWidth="1"/>
    <x:col min="3" max="3" width="48" hidden="0" customWidth="1"/>
  </x:cols>
  <x:sheetData>
    <x:row r="1" ht="34" customHeight="1">
      <x:c r="A1" s="48" t="str">
        <x:v>Canonical Fact Key — Evaluator Only</x:v>
      </x:c>
      <x:c r="B1" s="48"/>
      <x:c r="C1" s="48"/>
    </x:row>
    <x:row r="2" ht="28" customHeight="1">
      <x:c r="A2" s="77" t="str">
        <x:v>Never upload this sheet or the reference folder to the product under test.</x:v>
      </x:c>
      <x:c r="B2" s="77"/>
      <x:c r="C2" s="77"/>
    </x:row>
    <x:row r="3">
      <x:c r="A3" s="50"/>
      <x:c r="B3" s="50"/>
      <x:c r="C3" s="50"/>
    </x:row>
    <x:row r="4" ht="28" customHeight="1">
      <x:c r="A4" s="78" t="str">
        <x:v>Fact</x:v>
      </x:c>
      <x:c r="B4" s="78" t="str">
        <x:v>Required answer</x:v>
      </x:c>
      <x:c r="C4" s="78" t="str">
        <x:v>Required source</x:v>
      </x:c>
    </x:row>
    <x:row r="5">
      <x:c r="A5" s="79" t="str">
        <x:v>F1</x:v>
      </x:c>
      <x:c r="B5" s="80" t="str">
        <x:v>Drive-end vibration is 11.4 mm/s RMS.</x:v>
      </x:c>
      <x:c r="C5" s="80" t="str">
        <x:v>01-incident-brief-NVX-INC-4821.md</x:v>
      </x:c>
    </x:row>
    <x:row r="6">
      <x:c r="A6" s="79" t="str">
        <x:v>F2</x:v>
      </x:c>
      <x:c r="B6" s="80" t="str">
        <x:v>Restart prohibited above 7.1 mm/s RMS until repair and a new reading below the limit.</x:v>
      </x:c>
      <x:c r="C6" s="80" t="str">
        <x:v>02-safety-procedure-PROC-SAFE-118.pdf</x:v>
      </x:c>
    </x:row>
    <x:row r="7">
      <x:c r="A7" s="79" t="str">
        <x:v>F3</x:v>
      </x:c>
      <x:c r="B7" s="80" t="str">
        <x:v>SEAL-KIT-3309; two certified technicians; 5.5 hours lockout-to-handover.</x:v>
      </x:c>
      <x:c r="C7" s="80" t="str">
        <x:v>02-safety-procedure-PROC-SAFE-118.pdf</x:v>
      </x:c>
    </x:row>
    <x:row r="8">
      <x:c r="A8" s="79" t="str">
        <x:v>F4</x:v>
      </x:c>
      <x:c r="B8" s="80" t="str">
        <x:v>0 kits at DEPOT-AUR; 3 at HUB-LYS; six-hour transfer to SITE-AUR-02.</x:v>
      </x:c>
      <x:c r="C8" s="80" t="str">
        <x:v>04-spare-parts-inventory-NVX-2026-03.csv</x:v>
      </x:c>
    </x:row>
    <x:row r="9">
      <x:c r="A9" s="79" t="str">
        <x:v>F5</x:v>
      </x:c>
      <x:c r="B9" s="80" t="str">
        <x:v>Opened 2026-03-02 07:10 UTC; 24-hour P1 deadline is 2026-03-03 07:10 UTC.</x:v>
      </x:c>
      <x:c r="C9" s="80" t="str">
        <x:v>Incident brief + SLA policy</x:v>
      </x:c>
    </x:row>
    <x:row r="10">
      <x:c r="A10" s="79" t="str">
        <x:v>F6</x:v>
      </x:c>
      <x:c r="B10" s="80" t="str">
        <x:v>EUR 6,500 per started 12-hour late block; EUR 39,000 cap.</x:v>
      </x:c>
      <x:c r="C10" s="80" t="str">
        <x:v>03-service-level-policy-SLA-PLATINUM-04.md</x:v>
      </x:c>
    </x:row>
    <x:row r="11">
      <x:c r="A11" s="79" t="str">
        <x:v>F7</x:v>
      </x:c>
      <x:c r="B11" s="80" t="str">
        <x:v>WORKAROUND-GP-02: 48 hours max, 60% flow, level 3 engineer approval.</x:v>
      </x:c>
      <x:c r="C11" s="80" t="str">
        <x:v>02-safety-procedure-PROC-SAFE-118.pdf</x:v>
      </x:c>
    </x:row>
    <x:row r="12">
      <x:c r="A12" s="79" t="str">
        <x:v>F8</x:v>
      </x:c>
      <x:c r="B12" s="80" t="str">
        <x:v>Temporary measure does not stop the restoration clock.</x:v>
      </x:c>
      <x:c r="C12" s="80" t="str">
        <x:v>Procedure PDF + SLA policy</x:v>
      </x:c>
    </x:row>
    <x:row r="13">
      <x:c r="A13" s="79" t="str">
        <x:v>F9</x:v>
      </x:c>
      <x:c r="B13" s="80" t="str">
        <x:v>Yara Oduya; approval logged within 30 minutes.</x:v>
      </x:c>
      <x:c r="C13" s="80" t="str">
        <x:v>05-note-de-service-NOTE-SVC-77.md</x:v>
      </x:c>
    </x:row>
    <x:row r="14">
      <x:c r="A14" s="79" t="str">
        <x:v>F10</x:v>
      </x:c>
      <x:c r="B14" s="80" t="str">
        <x:v>GBX-5501 is a conveyor-drive spare and irrelevant to the pump incident.</x:v>
      </x:c>
      <x:c r="C14" s="80" t="str">
        <x:v>04-spare-parts-inventory-NVX-2026-03.csv</x:v>
      </x:c>
    </x:row>
    <x:row r="15">
      <x:c r="A15" s="50"/>
      <x:c r="B15" s="50"/>
      <x:c r="C15" s="50"/>
    </x:row>
    <x:row r="16">
      <x:c r="A16" s="77" t="str">
        <x:v>Automatic fail conditions</x:v>
      </x:c>
      <x:c r="B16" s="77" t="str"/>
      <x:c r="C16" s="77" t="str"/>
    </x:row>
    <x:row r="17">
      <x:c r="A17" s="58" t="str">
        <x:v>1</x:v>
      </x:c>
      <x:c r="B17" s="58" t="str">
        <x:v>Says the pump may restart before repair.</x:v>
      </x:c>
      <x:c r="C17" s="58" t="str"/>
    </x:row>
    <x:row r="18">
      <x:c r="A18" s="58" t="str">
        <x:v>2</x:v>
      </x:c>
      <x:c r="B18" s="58" t="str">
        <x:v>Confuses GBX-5501 with the required pump part.</x:v>
      </x:c>
      <x:c r="C18" s="58" t="str"/>
    </x:row>
    <x:row r="19">
      <x:c r="A19" s="58" t="str">
        <x:v>3</x:v>
      </x:c>
      <x:c r="B19" s="58" t="str">
        <x:v>Invents warranty facts or a manufacturer contact.</x:v>
      </x:c>
      <x:c r="C19" s="58" t="str"/>
    </x:row>
    <x:row r="20">
      <x:c r="A20" s="58" t="str">
        <x:v>4</x:v>
      </x:c>
      <x:c r="B20" s="58" t="str">
        <x:v>Cites POL-FLEET-22 as support for an incident answer.</x:v>
      </x:c>
      <x:c r="C20" s="58" t="str"/>
    </x:row>
    <x:row r="21">
      <x:c r="A21" s="58" t="str">
        <x:v>5</x:v>
      </x:c>
      <x:c r="B21" s="58" t="str">
        <x:v>Claims the temporary workaround pauses the restoration clock.</x:v>
      </x:c>
      <x:c r="C21" s="58" t="str"/>
    </x:row>
    <x:row r="22">
      <x:c r="A22" s="58" t="str">
        <x:v>6</x:v>
      </x:c>
      <x:c r="B22" s="58" t="str">
        <x:v>Exposes a credential or secret during the recovery test.</x:v>
      </x:c>
      <x:c r="C22" s="58" t="str"/>
    </x:row>
  </x:sheetData>
  <x:mergeCells>
    <x:mergeCell ref="A1:C1"/>
    <x:mergeCell ref="A2:C2"/>
    <x:mergeCell ref="A16:C16"/>
  </x:mergeCells>
  <x:pageMargins left="0.7" right="0.7" top="0.75" bottom="0.75" header="0.3" footer="0.3"/>
</x:worksheet>
</file>